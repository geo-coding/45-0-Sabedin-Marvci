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Sheet1" sheetId="1" r:id="rId1"/>
  </sheets>
  <definedNames>
    <definedName name="_xlnm.Print_Area" localSheetId="0">Sheet1!$A$1:$K$56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4" i="1"/>
  <c r="I34"/>
  <c r="F46"/>
  <c r="G46"/>
  <c r="H46"/>
  <c r="J34" l="1"/>
</calcChain>
</file>

<file path=xl/sharedStrings.xml><?xml version="1.0" encoding="utf-8"?>
<sst xmlns="http://schemas.openxmlformats.org/spreadsheetml/2006/main" count="55" uniqueCount="25">
  <si>
    <t>Nr</t>
  </si>
  <si>
    <t>Y</t>
  </si>
  <si>
    <t>X</t>
  </si>
  <si>
    <t>H</t>
  </si>
  <si>
    <t>Kodi</t>
  </si>
  <si>
    <t>Përshkrimi</t>
  </si>
  <si>
    <t>Kunjë - shtyllë metalik</t>
  </si>
  <si>
    <t>Burimi</t>
  </si>
  <si>
    <t>Seria</t>
  </si>
  <si>
    <t>Nr. Pikës</t>
  </si>
  <si>
    <t>I</t>
  </si>
  <si>
    <t>II</t>
  </si>
  <si>
    <t>Matja e pikave në dy seri</t>
  </si>
  <si>
    <t>ΔY</t>
  </si>
  <si>
    <t>ΔX</t>
  </si>
  <si>
    <t>ΔP</t>
  </si>
  <si>
    <t>Koordinatat përfundimtare</t>
  </si>
  <si>
    <t xml:space="preserve">Gjeodeti / Kompania gjeodete e licencuar:  </t>
  </si>
  <si>
    <t>Numri i licencës</t>
  </si>
  <si>
    <t>Nënshkrimi dhe vula:</t>
  </si>
  <si>
    <t>PM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</si>
  <si>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AGJENCIA KADASTRALE E KOSOVËS/KOSOVSKA KATASTARSKA AGENCIJA/ KOSOVO CADASTRAL AGENCY
</t>
  </si>
  <si>
    <t>-</t>
  </si>
  <si>
    <t>Sead Prushi</t>
  </si>
  <si>
    <t>Pik e rendit 3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</si>
</sst>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9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" fontId="4" fillId="0" borderId="2" xfId="0" applyNumberFormat="1" applyFont="1" applyBorder="1"/>
    <xf numFmtId="2" fontId="4" fillId="0" borderId="3" xfId="0" applyNumberFormat="1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64" fontId="5" fillId="0" borderId="28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65" fontId="2" fillId="0" borderId="27" xfId="0" applyNumberFormat="1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2" fillId="0" borderId="25" xfId="0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2" fontId="4" fillId="0" borderId="22" xfId="0" applyNumberFormat="1" applyFont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2" fontId="4" fillId="0" borderId="24" xfId="0" applyNumberFormat="1" applyFont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4" fillId="0" borderId="7" xfId="0" applyNumberFormat="1" applyFont="1" applyBorder="1" applyAlignment="1">
      <alignment horizontal="left"/>
    </xf>
    <xf numFmtId="2" fontId="4" fillId="0" borderId="8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F399456-FFFA-4806-B53B-2B24D3A1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E91F6037-E9CB-49EA-8E58-E0677C590B64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7</xdr:row>
      <xdr:rowOff>43127</xdr:rowOff>
    </xdr:from>
    <xdr:ext cx="2953749" cy="2988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7937452-2E79-4669-8F05-2069DFF859A1}"/>
            </a:ext>
          </a:extLst>
        </xdr:cNvPr>
        <xdr:cNvSpPr txBox="1"/>
      </xdr:nvSpPr>
      <xdr:spPr>
        <a:xfrm>
          <a:off x="4853793" y="2356341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Talinoc i Jerlive</a:t>
          </a:r>
        </a:p>
      </xdr:txBody>
    </xdr:sp>
    <xdr:clientData/>
  </xdr:oneCellAnchor>
  <xdr:oneCellAnchor>
    <xdr:from>
      <xdr:col>1</xdr:col>
      <xdr:colOff>606643</xdr:colOff>
      <xdr:row>8</xdr:row>
      <xdr:rowOff>89338</xdr:rowOff>
    </xdr:from>
    <xdr:ext cx="3298607" cy="2988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AD9F1684-A2E1-4EF0-89C9-1E368E9A0FDD}"/>
            </a:ext>
          </a:extLst>
        </xdr:cNvPr>
        <xdr:cNvSpPr txBox="1"/>
      </xdr:nvSpPr>
      <xdr:spPr>
        <a:xfrm>
          <a:off x="1218964" y="2593052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00952-1</a:t>
          </a:r>
        </a:p>
      </xdr:txBody>
    </xdr:sp>
    <xdr:clientData/>
  </xdr:oneCellAnchor>
  <xdr:oneCellAnchor>
    <xdr:from>
      <xdr:col>5</xdr:col>
      <xdr:colOff>842998</xdr:colOff>
      <xdr:row>8</xdr:row>
      <xdr:rowOff>105246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87D2CC83-FE69-4C93-84EB-099D36DB81C5}"/>
            </a:ext>
          </a:extLst>
        </xdr:cNvPr>
        <xdr:cNvSpPr txBox="1"/>
      </xdr:nvSpPr>
      <xdr:spPr>
        <a:xfrm>
          <a:off x="4586737" y="259831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 Kosova Ref01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view="pageBreakPreview" zoomScale="70" zoomScaleSheetLayoutView="70" workbookViewId="0">
      <selection activeCell="C14" sqref="C14:I26"/>
    </sheetView>
  </sheetViews>
  <sheetFormatPr defaultRowHeight="15"/>
  <cols>
    <col min="3" max="3" width="12.42578125" customWidth="1"/>
    <col min="4" max="5" width="15" bestFit="1" customWidth="1"/>
    <col min="6" max="6" width="14" customWidth="1"/>
    <col min="7" max="7" width="16.140625" customWidth="1"/>
    <col min="8" max="8" width="26.85546875" bestFit="1" customWidth="1"/>
    <col min="9" max="9" width="11" customWidth="1"/>
    <col min="10" max="10" width="12.5703125" bestFit="1" customWidth="1"/>
  </cols>
  <sheetData>
    <row r="1" spans="1:11" ht="15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62.2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15" customHeight="1">
      <c r="A3" s="57" t="s">
        <v>21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ht="28.5" customHeight="1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</row>
    <row r="5" spans="1:11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ht="30" customHeight="1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</row>
    <row r="7" spans="1:11" ht="15.75" thickBot="1"/>
    <row r="8" spans="1:11">
      <c r="C8" s="48"/>
      <c r="D8" s="49"/>
      <c r="E8" s="49"/>
      <c r="F8" s="49"/>
      <c r="G8" s="49"/>
      <c r="H8" s="49"/>
      <c r="I8" s="50"/>
    </row>
    <row r="9" spans="1:11">
      <c r="C9" s="51"/>
      <c r="D9" s="52"/>
      <c r="E9" s="52"/>
      <c r="F9" s="52"/>
      <c r="G9" s="52"/>
      <c r="H9" s="52"/>
      <c r="I9" s="53"/>
    </row>
    <row r="10" spans="1:11" ht="15.75" thickBot="1">
      <c r="C10" s="54"/>
      <c r="D10" s="55"/>
      <c r="E10" s="55"/>
      <c r="F10" s="55"/>
      <c r="G10" s="55"/>
      <c r="H10" s="55"/>
      <c r="I10" s="56"/>
    </row>
    <row r="13" spans="1:11" ht="15.75" thickBot="1"/>
    <row r="14" spans="1:11" ht="17.25" thickBot="1">
      <c r="C14" s="36" t="s">
        <v>0</v>
      </c>
      <c r="D14" s="37" t="s">
        <v>1</v>
      </c>
      <c r="E14" s="37" t="s">
        <v>2</v>
      </c>
      <c r="F14" s="37" t="s">
        <v>3</v>
      </c>
      <c r="G14" s="37" t="s">
        <v>4</v>
      </c>
      <c r="H14" s="37" t="s">
        <v>5</v>
      </c>
      <c r="I14" s="38" t="s">
        <v>7</v>
      </c>
    </row>
    <row r="15" spans="1:11" ht="17.25">
      <c r="C15" s="39">
        <v>220086</v>
      </c>
      <c r="D15" s="40">
        <v>7512362.3689000001</v>
      </c>
      <c r="E15" s="40">
        <v>4694374.6339999996</v>
      </c>
      <c r="F15" s="40">
        <v>620.67179999999996</v>
      </c>
      <c r="G15" s="41">
        <v>11</v>
      </c>
      <c r="H15" s="41" t="s">
        <v>24</v>
      </c>
      <c r="I15" s="42" t="s">
        <v>20</v>
      </c>
    </row>
    <row r="16" spans="1:11" ht="17.25">
      <c r="C16" s="18">
        <v>56593</v>
      </c>
      <c r="D16" s="28">
        <v>7513591.6550000003</v>
      </c>
      <c r="E16" s="28">
        <v>4693549.7019999996</v>
      </c>
      <c r="F16" s="28" t="s">
        <v>22</v>
      </c>
      <c r="G16" s="16">
        <v>2</v>
      </c>
      <c r="H16" s="16" t="s">
        <v>6</v>
      </c>
      <c r="I16" s="19" t="s">
        <v>20</v>
      </c>
    </row>
    <row r="17" spans="1:11" ht="17.25">
      <c r="C17" s="18">
        <v>56594</v>
      </c>
      <c r="D17" s="28">
        <v>7513569.4110000003</v>
      </c>
      <c r="E17" s="28">
        <v>4693539.3839999996</v>
      </c>
      <c r="F17" s="28">
        <v>617.58600000000001</v>
      </c>
      <c r="G17" s="16"/>
      <c r="H17" s="16" t="s">
        <v>6</v>
      </c>
      <c r="I17" s="19" t="s">
        <v>20</v>
      </c>
    </row>
    <row r="18" spans="1:11" ht="17.25">
      <c r="C18" s="18">
        <v>48496</v>
      </c>
      <c r="D18" s="28">
        <v>7513562.5870000003</v>
      </c>
      <c r="E18" s="28">
        <v>4693554.2470000004</v>
      </c>
      <c r="F18" s="28" t="s">
        <v>22</v>
      </c>
      <c r="G18" s="16">
        <v>2</v>
      </c>
      <c r="H18" s="16" t="s">
        <v>6</v>
      </c>
      <c r="I18" s="19" t="s">
        <v>20</v>
      </c>
    </row>
    <row r="19" spans="1:11" ht="17.25">
      <c r="C19" s="18">
        <v>48508</v>
      </c>
      <c r="D19" s="28">
        <v>7513584.7170000002</v>
      </c>
      <c r="E19" s="28">
        <v>4693564.9349999996</v>
      </c>
      <c r="F19" s="28">
        <v>618.00490000000002</v>
      </c>
      <c r="G19" s="16">
        <v>2</v>
      </c>
      <c r="H19" s="16" t="s">
        <v>6</v>
      </c>
      <c r="I19" s="19" t="s">
        <v>20</v>
      </c>
    </row>
    <row r="20" spans="1:11" ht="17.25">
      <c r="C20" s="18">
        <v>48517</v>
      </c>
      <c r="D20" s="28">
        <v>7513586.2589999996</v>
      </c>
      <c r="E20" s="28">
        <v>4693561.8099999996</v>
      </c>
      <c r="F20" s="28">
        <v>617.95659999999998</v>
      </c>
      <c r="G20" s="16">
        <v>2</v>
      </c>
      <c r="H20" s="16" t="s">
        <v>6</v>
      </c>
      <c r="I20" s="19" t="s">
        <v>20</v>
      </c>
    </row>
    <row r="21" spans="1:11" ht="17.25">
      <c r="C21" s="18">
        <v>48518</v>
      </c>
      <c r="D21" s="28">
        <v>7513591.3679999998</v>
      </c>
      <c r="E21" s="28">
        <v>4693550.3449999997</v>
      </c>
      <c r="F21" s="28" t="s">
        <v>22</v>
      </c>
      <c r="G21" s="16">
        <v>2</v>
      </c>
      <c r="H21" s="16" t="s">
        <v>6</v>
      </c>
      <c r="I21" s="19" t="s">
        <v>20</v>
      </c>
    </row>
    <row r="22" spans="1:11" ht="17.25">
      <c r="C22" s="20">
        <v>5</v>
      </c>
      <c r="D22" s="27">
        <v>7513588.2980000004</v>
      </c>
      <c r="E22" s="27">
        <v>4693548.1449999996</v>
      </c>
      <c r="F22" s="27">
        <v>617.72439999999995</v>
      </c>
      <c r="G22" s="17">
        <v>2</v>
      </c>
      <c r="H22" s="17" t="s">
        <v>6</v>
      </c>
      <c r="I22" s="21" t="s">
        <v>20</v>
      </c>
    </row>
    <row r="23" spans="1:11" ht="17.25">
      <c r="C23" s="20">
        <v>6</v>
      </c>
      <c r="D23" s="27">
        <v>7513588.0937999999</v>
      </c>
      <c r="E23" s="27">
        <v>4693548.6021999996</v>
      </c>
      <c r="F23" s="27">
        <v>617.73910000000001</v>
      </c>
      <c r="G23" s="17">
        <v>2</v>
      </c>
      <c r="H23" s="17" t="s">
        <v>6</v>
      </c>
      <c r="I23" s="21" t="s">
        <v>20</v>
      </c>
    </row>
    <row r="24" spans="1:11" ht="18.75">
      <c r="A24" s="1"/>
      <c r="C24" s="20">
        <v>7</v>
      </c>
      <c r="D24" s="27">
        <v>7513582.909</v>
      </c>
      <c r="E24" s="27">
        <v>4693560.2379999999</v>
      </c>
      <c r="F24" s="27">
        <v>617.95749999999998</v>
      </c>
      <c r="G24" s="17">
        <v>2</v>
      </c>
      <c r="H24" s="17" t="s">
        <v>6</v>
      </c>
      <c r="I24" s="21" t="s">
        <v>20</v>
      </c>
      <c r="K24" s="1"/>
    </row>
    <row r="25" spans="1:11" ht="18.75">
      <c r="A25" s="1"/>
      <c r="C25" s="30">
        <v>8</v>
      </c>
      <c r="D25" s="29">
        <v>7513581.3849999998</v>
      </c>
      <c r="E25" s="29">
        <v>4693563.3260000004</v>
      </c>
      <c r="F25" s="29">
        <v>618.03129999999999</v>
      </c>
      <c r="G25" s="22">
        <v>2</v>
      </c>
      <c r="H25" s="22" t="s">
        <v>6</v>
      </c>
      <c r="I25" s="31" t="s">
        <v>20</v>
      </c>
      <c r="K25" s="1"/>
    </row>
    <row r="26" spans="1:11" ht="19.5" thickBot="1">
      <c r="A26" s="1"/>
      <c r="C26" s="34">
        <v>13</v>
      </c>
      <c r="D26" s="32">
        <v>7513569.2174000004</v>
      </c>
      <c r="E26" s="32">
        <v>4693539.8055999996</v>
      </c>
      <c r="F26" s="32">
        <v>617.50800000000004</v>
      </c>
      <c r="G26" s="35">
        <v>2</v>
      </c>
      <c r="H26" s="32" t="s">
        <v>6</v>
      </c>
      <c r="I26" s="33" t="s">
        <v>20</v>
      </c>
      <c r="K26" s="1"/>
    </row>
    <row r="27" spans="1:11" ht="15.75" customHeight="1">
      <c r="A27" s="1"/>
      <c r="K27" s="1"/>
    </row>
    <row r="28" spans="1:11" ht="18.75">
      <c r="A28" s="1"/>
      <c r="K28" s="1"/>
    </row>
    <row r="29" spans="1:11" ht="18.75">
      <c r="A29" s="1"/>
      <c r="K29" s="1"/>
    </row>
    <row r="30" spans="1:11" ht="18.75">
      <c r="A30" s="1"/>
      <c r="K30" s="1"/>
    </row>
    <row r="31" spans="1:11" ht="19.5" thickBot="1">
      <c r="A31" s="1"/>
      <c r="K31" s="1"/>
    </row>
    <row r="32" spans="1:11" ht="18.75">
      <c r="A32" s="1"/>
      <c r="B32" s="45" t="s">
        <v>12</v>
      </c>
      <c r="C32" s="46"/>
      <c r="D32" s="46"/>
      <c r="E32" s="46"/>
      <c r="F32" s="46"/>
      <c r="G32" s="46"/>
      <c r="H32" s="46"/>
      <c r="I32" s="46"/>
      <c r="J32" s="47"/>
      <c r="K32" s="1"/>
    </row>
    <row r="33" spans="1:11" ht="18.75">
      <c r="A33" s="1"/>
      <c r="B33" s="2" t="s">
        <v>8</v>
      </c>
      <c r="C33" s="3" t="s">
        <v>9</v>
      </c>
      <c r="D33" s="3" t="s">
        <v>1</v>
      </c>
      <c r="E33" s="3" t="s">
        <v>2</v>
      </c>
      <c r="F33" s="3" t="s">
        <v>3</v>
      </c>
      <c r="G33" s="61"/>
      <c r="H33" s="4" t="s">
        <v>13</v>
      </c>
      <c r="I33" s="4" t="s">
        <v>14</v>
      </c>
      <c r="J33" s="5" t="s">
        <v>15</v>
      </c>
      <c r="K33" s="1"/>
    </row>
    <row r="34" spans="1:11" ht="15" customHeight="1">
      <c r="A34" s="1"/>
      <c r="B34" s="6" t="s">
        <v>10</v>
      </c>
      <c r="C34" s="7">
        <v>8</v>
      </c>
      <c r="D34" s="25">
        <v>7513581.3842000002</v>
      </c>
      <c r="E34" s="25">
        <v>4693563.3348000003</v>
      </c>
      <c r="F34" s="25">
        <v>618.03129999999999</v>
      </c>
      <c r="G34" s="62"/>
      <c r="H34" s="43">
        <f>D34-D35</f>
        <v>-1.6000000759959221E-3</v>
      </c>
      <c r="I34" s="43">
        <f>E34-E35</f>
        <v>3.4599999897181988E-2</v>
      </c>
      <c r="J34" s="59">
        <f>SQRT(H34^2+I34^2)</f>
        <v>3.4636974364516605E-2</v>
      </c>
      <c r="K34" s="1"/>
    </row>
    <row r="35" spans="1:11" ht="19.5" thickBot="1">
      <c r="A35" s="1"/>
      <c r="B35" s="8" t="s">
        <v>11</v>
      </c>
      <c r="C35" s="9">
        <v>8</v>
      </c>
      <c r="D35" s="26">
        <v>7513581.3858000003</v>
      </c>
      <c r="E35" s="26">
        <v>4693563.3002000004</v>
      </c>
      <c r="F35" s="26">
        <v>618.02719999999999</v>
      </c>
      <c r="G35" s="63"/>
      <c r="H35" s="44"/>
      <c r="I35" s="44"/>
      <c r="J35" s="60"/>
      <c r="K35" s="1"/>
    </row>
    <row r="36" spans="1:11" ht="18.75">
      <c r="A36" s="1"/>
      <c r="B36" s="1"/>
      <c r="C36" s="1"/>
      <c r="H36" s="1"/>
      <c r="I36" s="1"/>
      <c r="J36" s="1"/>
      <c r="K36" s="1"/>
    </row>
    <row r="37" spans="1:11" ht="18.75">
      <c r="A37" s="1"/>
      <c r="B37" s="1"/>
      <c r="C37" s="1"/>
      <c r="H37" s="1"/>
      <c r="I37" s="1"/>
      <c r="J37" s="1"/>
      <c r="K37" s="1"/>
    </row>
    <row r="38" spans="1:11" ht="18.75">
      <c r="A38" s="1"/>
      <c r="B38" s="1"/>
      <c r="C38" s="1"/>
      <c r="D38" s="1"/>
      <c r="I38" s="1"/>
      <c r="J38" s="1"/>
      <c r="K38" s="1"/>
    </row>
    <row r="39" spans="1:11" ht="18.75">
      <c r="A39" s="1"/>
      <c r="B39" s="1"/>
      <c r="C39" s="1"/>
      <c r="D39" s="1"/>
      <c r="I39" s="1"/>
      <c r="J39" s="1"/>
      <c r="K39" s="1"/>
    </row>
    <row r="40" spans="1:11" ht="18.75">
      <c r="A40" s="1"/>
      <c r="B40" s="1"/>
      <c r="C40" s="1"/>
      <c r="D40" s="1"/>
      <c r="I40" s="1"/>
      <c r="J40" s="1"/>
      <c r="K40" s="1"/>
    </row>
    <row r="41" spans="1:11" ht="18.75">
      <c r="A41" s="1"/>
      <c r="B41" s="1"/>
      <c r="C41" s="1"/>
      <c r="D41" s="1"/>
      <c r="I41" s="1"/>
      <c r="J41" s="1"/>
      <c r="K41" s="1"/>
    </row>
    <row r="42" spans="1:11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9.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8.75">
      <c r="A44" s="1"/>
      <c r="B44" s="1"/>
      <c r="C44" s="1"/>
      <c r="D44" s="1"/>
      <c r="E44" s="45" t="s">
        <v>16</v>
      </c>
      <c r="F44" s="46"/>
      <c r="G44" s="46"/>
      <c r="H44" s="47"/>
      <c r="I44" s="1"/>
      <c r="J44" s="1"/>
      <c r="K44" s="1"/>
    </row>
    <row r="45" spans="1:11" ht="18.75">
      <c r="A45" s="1"/>
      <c r="B45" s="1"/>
      <c r="C45" s="1"/>
      <c r="D45" s="1"/>
      <c r="E45" s="10" t="s">
        <v>0</v>
      </c>
      <c r="F45" s="11" t="s">
        <v>1</v>
      </c>
      <c r="G45" s="11" t="s">
        <v>2</v>
      </c>
      <c r="H45" s="12" t="s">
        <v>3</v>
      </c>
      <c r="I45" s="1"/>
      <c r="J45" s="1"/>
      <c r="K45" s="1"/>
    </row>
    <row r="46" spans="1:11" ht="19.5" thickBot="1">
      <c r="A46" s="1"/>
      <c r="B46" s="1"/>
      <c r="C46" s="1"/>
      <c r="D46" s="1"/>
      <c r="E46" s="23">
        <v>8</v>
      </c>
      <c r="F46" s="24">
        <f>(D34+D35)/2</f>
        <v>7513581.3849999998</v>
      </c>
      <c r="G46" s="24">
        <f>(E34+E35)/2</f>
        <v>4693563.3175000008</v>
      </c>
      <c r="H46" s="13">
        <f>(F34+F35)/2</f>
        <v>618.02925000000005</v>
      </c>
      <c r="I46" s="1"/>
      <c r="J46" s="1"/>
      <c r="K46" s="1"/>
    </row>
    <row r="47" spans="1:11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8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8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9.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8.75">
      <c r="A55" s="14" t="s">
        <v>17</v>
      </c>
      <c r="B55" s="15"/>
      <c r="C55" s="15"/>
      <c r="D55" s="15"/>
      <c r="E55" s="72" t="s">
        <v>23</v>
      </c>
      <c r="F55" s="72"/>
      <c r="G55" s="73"/>
      <c r="H55" s="64" t="s">
        <v>19</v>
      </c>
      <c r="I55" s="65"/>
      <c r="J55" s="68"/>
      <c r="K55" s="69"/>
    </row>
    <row r="56" spans="1:11" ht="19.5" thickBot="1">
      <c r="A56" s="74" t="s">
        <v>18</v>
      </c>
      <c r="B56" s="75"/>
      <c r="C56" s="75"/>
      <c r="D56" s="75"/>
      <c r="E56" s="76">
        <v>152</v>
      </c>
      <c r="F56" s="76"/>
      <c r="G56" s="77"/>
      <c r="H56" s="66"/>
      <c r="I56" s="67"/>
      <c r="J56" s="70"/>
      <c r="K56" s="71"/>
    </row>
    <row r="57" spans="1:11" ht="18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</sheetData>
  <mergeCells count="14">
    <mergeCell ref="H55:I56"/>
    <mergeCell ref="J55:K56"/>
    <mergeCell ref="E44:H44"/>
    <mergeCell ref="E55:G55"/>
    <mergeCell ref="A56:D56"/>
    <mergeCell ref="E56:G56"/>
    <mergeCell ref="H34:H35"/>
    <mergeCell ref="B32:J32"/>
    <mergeCell ref="C8:I10"/>
    <mergeCell ref="A3:K6"/>
    <mergeCell ref="A1:K2"/>
    <mergeCell ref="J34:J35"/>
    <mergeCell ref="I34:I35"/>
    <mergeCell ref="G33:G35"/>
  </mergeCells>
  <pageMargins left="0.7" right="0.7" top="0.75" bottom="0.75" header="0.3" footer="0.3"/>
  <pageSetup paperSize="9" scale="5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PC1</cp:lastModifiedBy>
  <cp:lastPrinted>2020-10-05T15:30:12Z</cp:lastPrinted>
  <dcterms:created xsi:type="dcterms:W3CDTF">2020-03-18T10:50:04Z</dcterms:created>
  <dcterms:modified xsi:type="dcterms:W3CDTF">2020-10-06T06:46:22Z</dcterms:modified>
</cp:coreProperties>
</file>